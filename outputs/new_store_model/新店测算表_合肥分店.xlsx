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ed59d2d50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a4ff1f9437f4a61"/>
    <x:sheet xmlns:r="http://schemas.openxmlformats.org/officeDocument/2006/relationships" name="一次性投入" sheetId="2" r:id="Rd1f27633182c44db"/>
    <x:sheet xmlns:r="http://schemas.openxmlformats.org/officeDocument/2006/relationships" name="月固定成本" sheetId="3" r:id="Rf56f02943c0d4f89"/>
    <x:sheet xmlns:r="http://schemas.openxmlformats.org/officeDocument/2006/relationships" name="产品毛利" sheetId="4" r:id="Rcb2cc7e8ae804a1d"/>
    <x:sheet xmlns:r="http://schemas.openxmlformats.org/officeDocument/2006/relationships" name="测算汇总" sheetId="5" r:id="R2b2e08ed601b401f"/>
    <x:sheet xmlns:r="http://schemas.openxmlformats.org/officeDocument/2006/relationships" name="检查清单" sheetId="6" r:id="Rb316a6f1c327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"/>
    <x:numFmt numFmtId="201" formatCode="0.0%"/>
    <x:numFmt numFmtId="202" formatCode="0.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1">
    <x:border/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0" fillId="4" borderId="0" xfId="0" applyNumberFormat="1" applyFont="1" applyFill="1" applyBorder="1"/>
    <x:xf numFmtId="200" fontId="3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5" borderId="0" xfId="0" applyNumberFormat="1" applyFont="1" applyFill="1" applyBorder="1"/>
    <x:xf numFmtId="201" fontId="0" fillId="4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6" borderId="0" xfId="0" applyNumberFormat="1" applyFont="1" applyFill="1" applyBorder="1"/>
    <x:xf numFmtId="202" fontId="0" fillId="7" borderId="0" xfId="0" applyNumberFormat="1" applyFont="1" applyFill="1" applyBorder="1"/>
    <x:xf numFmtId="202" fontId="0" fillId="5" borderId="0" xfId="0" applyNumberFormat="1" applyFont="1" applyFill="1" applyBorder="1"/>
    <x:xf numFmtId="202" fontId="0" fillId="6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200" fontId="0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200" fontId="3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afe4684c1465d" /><Relationship Type="http://schemas.openxmlformats.org/officeDocument/2006/relationships/theme" Target="/xl/theme/theme1.xml" Id="R0e53a6b93a9140a4" /><Relationship Type="http://schemas.openxmlformats.org/officeDocument/2006/relationships/sharedStrings" Target="/xl/sharedStrings.xml" Id="R5e252b37c4854dca" /><Relationship Type="http://schemas.openxmlformats.org/officeDocument/2006/relationships/worksheet" Target="/xl/worksheets/sheet1.xml" Id="Rda4ff1f9437f4a61" /><Relationship Type="http://schemas.openxmlformats.org/officeDocument/2006/relationships/worksheet" Target="/xl/worksheets/sheet2.xml" Id="Rd1f27633182c44db" /><Relationship Type="http://schemas.openxmlformats.org/officeDocument/2006/relationships/worksheet" Target="/xl/worksheets/sheet3.xml" Id="Rf56f02943c0d4f89" /><Relationship Type="http://schemas.openxmlformats.org/officeDocument/2006/relationships/worksheet" Target="/xl/worksheets/sheet4.xml" Id="Rcb2cc7e8ae804a1d" /><Relationship Type="http://schemas.openxmlformats.org/officeDocument/2006/relationships/worksheet" Target="/xl/worksheets/sheet5.xml" Id="R2b2e08ed601b401f" /><Relationship Type="http://schemas.openxmlformats.org/officeDocument/2006/relationships/worksheet" Target="/xl/worksheets/sheet6.xml" Id="Rb316a6f1c32745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5" hidden="0" customWidth="1"/>
  </x:cols>
  <x:sheetData>
    <x:row r="1" ht="27" customHeight="1">
      <x:c r="A1" s="28" t="str">
        <x:v>新店测算表 - 使用说明</x:v>
      </x:c>
      <x:c r="B1" s="28" t="str">
        <x:v>新店测算表 - 使用说明</x:v>
      </x:c>
    </x:row>
    <x:row r="2">
      <x:c r="A2" s="7"/>
      <x:c r="B2" s="7"/>
    </x:row>
    <x:row r="3">
      <x:c r="A3" s="6" t="str">
        <x:v>步骤</x:v>
      </x:c>
      <x:c r="B3" s="6" t="str">
        <x:v>说明</x:v>
      </x:c>
    </x:row>
    <x:row r="4">
      <x:c r="A4" s="7" t="str">
        <x:v>1</x:v>
      </x:c>
      <x:c r="B4" s="7" t="str">
        <x:v>先填写“一次性投入”和“月固定成本”中的蓝色单元格。</x:v>
      </x:c>
    </x:row>
    <x:row r="5">
      <x:c r="A5" s="7" t="str">
        <x:v>2</x:v>
      </x:c>
      <x:c r="B5" s="7" t="str">
        <x:v>再到“产品毛利”填写主要产品的售价、成本和预计销售占比。</x:v>
      </x:c>
    </x:row>
    <x:row r="6">
      <x:c r="A6" s="7" t="str">
        <x:v>3</x:v>
      </x:c>
      <x:c r="B6" s="7" t="str">
        <x:v>最后到“测算汇总”填写保守、正常、乐观三档日营业额。</x:v>
      </x:c>
    </x:row>
    <x:row r="7">
      <x:c r="A7" s="7" t="str">
        <x:v>4</x:v>
      </x:c>
      <x:c r="B7" s="7" t="str">
        <x:v>表格会自动计算综合毛利率、保本日营业额、月利润和回本周期。</x:v>
      </x:c>
    </x:row>
    <x:row r="8">
      <x:c r="A8" s="7" t="str">
        <x:v>判断标准</x:v>
      </x:c>
      <x:c r="B8" s="7" t="str">
        <x:v>回本周期 6-12 个月较健康，12-18 个月可考虑，18 个月以上需要谨慎。</x:v>
      </x:c>
    </x:row>
    <x:row r="9">
      <x:c r="A9" s="7" t="str">
        <x:v>蓝色单元格</x:v>
      </x:c>
      <x:c r="B9" s="7" t="str">
        <x:v>需要手动填写或覆盖。</x:v>
      </x:c>
    </x:row>
    <x:row r="10">
      <x:c r="A10" s="7" t="str">
        <x:v>绿色单元格</x:v>
      </x:c>
      <x:c r="B10" s="7" t="str">
        <x:v>公式自动计算，建议不要覆盖。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7.5" hidden="0" customWidth="1"/>
    <x:col min="3" max="3" width="45" hidden="0" customWidth="1"/>
  </x:cols>
  <x:sheetData>
    <x:row r="1" ht="27" customHeight="1">
      <x:c r="A1" s="28" t="str">
        <x:v>一次性投入</x:v>
      </x:c>
      <x:c r="B1" s="28" t="str">
        <x:v>一次性投入</x:v>
      </x:c>
      <x:c r="C1" s="28" t="str">
        <x:v>一次性投入</x:v>
      </x:c>
    </x:row>
    <x:row r="2">
      <x:c r="A2" s="7"/>
      <x:c r="B2" s="7"/>
      <x:c r="C2" s="7"/>
    </x:row>
    <x:row r="3">
      <x:c r="A3" s="6" t="str">
        <x:v>项目</x:v>
      </x:c>
      <x:c r="B3" s="6" t="str">
        <x:v>金额</x:v>
      </x:c>
      <x:c r="C3" s="6" t="str">
        <x:v>备注</x:v>
      </x:c>
    </x:row>
    <x:row r="4">
      <x:c r="A4" s="7" t="str">
        <x:v>转让费</x:v>
      </x:c>
      <x:c r="B4" s="29" t="n">
        <x:v>30000</x:v>
      </x:c>
      <x:c r="C4" s="7" t="str"/>
    </x:row>
    <x:row r="5">
      <x:c r="A5" s="7" t="str">
        <x:v>押金</x:v>
      </x:c>
      <x:c r="B5" s="29" t="n">
        <x:v>20000</x:v>
      </x:c>
      <x:c r="C5" s="7" t="str">
        <x:v>通常 2-3 个月租金</x:v>
      </x:c>
    </x:row>
    <x:row r="6">
      <x:c r="A6" s="7" t="str">
        <x:v>首月租金</x:v>
      </x:c>
      <x:c r="B6" s="29" t="n">
        <x:v>10000</x:v>
      </x:c>
      <x:c r="C6" s="7" t="str"/>
    </x:row>
    <x:row r="7">
      <x:c r="A7" s="7" t="str">
        <x:v>装修</x:v>
      </x:c>
      <x:c r="B7" s="29" t="n">
        <x:v>80000</x:v>
      </x:c>
      <x:c r="C7" s="7" t="str"/>
    </x:row>
    <x:row r="8">
      <x:c r="A8" s="7" t="str">
        <x:v>设备</x:v>
      </x:c>
      <x:c r="B8" s="29" t="n">
        <x:v>50000</x:v>
      </x:c>
      <x:c r="C8" s="7" t="str"/>
    </x:row>
    <x:row r="9">
      <x:c r="A9" s="7" t="str">
        <x:v>首批物料</x:v>
      </x:c>
      <x:c r="B9" s="29" t="n">
        <x:v>30000</x:v>
      </x:c>
      <x:c r="C9" s="7" t="str"/>
    </x:row>
    <x:row r="10">
      <x:c r="A10" s="7" t="str">
        <x:v>招牌/证照/杂费</x:v>
      </x:c>
      <x:c r="B10" s="29" t="n">
        <x:v>8000</x:v>
      </x:c>
      <x:c r="C10" s="7" t="str"/>
    </x:row>
    <x:row r="11">
      <x:c r="A11" s="7" t="str">
        <x:v>开业推广</x:v>
      </x:c>
      <x:c r="B11" s="29" t="n">
        <x:v>10000</x:v>
      </x:c>
      <x:c r="C11" s="7" t="str"/>
    </x:row>
    <x:row r="12">
      <x:c r="A12" s="7" t="str">
        <x:v>备用金</x:v>
      </x:c>
      <x:c r="B12" s="29" t="n">
        <x:v>45000</x:v>
      </x:c>
      <x:c r="C12" s="7" t="str">
        <x:v>建议至少覆盖 3 个月固定成本</x:v>
      </x:c>
    </x:row>
    <x:row r="13">
      <x:c r="A13" s="7" t="str">
        <x:v>其他</x:v>
      </x:c>
      <x:c r="B13" s="29" t="n">
        <x:v>0</x:v>
      </x:c>
      <x:c r="C13" s="7" t="str"/>
    </x:row>
    <x:row r="14">
      <x:c r="A14" s="30" t="str">
        <x:v>合计投入</x:v>
      </x:c>
      <x:c r="B14" s="31" t="n">
        <x:f>SUM(B4:B13)</x:f>
        <x:v>283000</x:v>
      </x:c>
      <x:c r="C14" s="30" t="str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7.5" hidden="0" customWidth="1"/>
    <x:col min="3" max="3" width="45" hidden="0" customWidth="1"/>
  </x:cols>
  <x:sheetData>
    <x:row r="1" ht="27" customHeight="1">
      <x:c r="A1" s="28" t="str">
        <x:v>月固定成本</x:v>
      </x:c>
      <x:c r="B1" s="28" t="str">
        <x:v>月固定成本</x:v>
      </x:c>
      <x:c r="C1" s="28" t="str">
        <x:v>月固定成本</x:v>
      </x:c>
    </x:row>
    <x:row r="2">
      <x:c r="A2" s="7"/>
      <x:c r="B2" s="7"/>
      <x:c r="C2" s="7"/>
    </x:row>
    <x:row r="3">
      <x:c r="A3" s="6" t="str">
        <x:v>项目</x:v>
      </x:c>
      <x:c r="B3" s="6" t="str">
        <x:v>金额/月</x:v>
      </x:c>
      <x:c r="C3" s="6" t="str">
        <x:v>备注</x:v>
      </x:c>
    </x:row>
    <x:row r="4">
      <x:c r="A4" s="7" t="str">
        <x:v>房租</x:v>
      </x:c>
      <x:c r="B4" s="29" t="n">
        <x:v>10000</x:v>
      </x:c>
      <x:c r="C4" s="7" t="str"/>
    </x:row>
    <x:row r="5">
      <x:c r="A5" s="7" t="str">
        <x:v>人工</x:v>
      </x:c>
      <x:c r="B5" s="29" t="n">
        <x:v>25000</x:v>
      </x:c>
      <x:c r="C5" s="7" t="str">
        <x:v>含店长、老师、兼职</x:v>
      </x:c>
    </x:row>
    <x:row r="6">
      <x:c r="A6" s="7" t="str">
        <x:v>社保/补贴</x:v>
      </x:c>
      <x:c r="B6" s="29" t="n">
        <x:v>3000</x:v>
      </x:c>
      <x:c r="C6" s="7" t="str"/>
    </x:row>
    <x:row r="7">
      <x:c r="A7" s="7" t="str">
        <x:v>水电燃气</x:v>
      </x:c>
      <x:c r="B7" s="29" t="n">
        <x:v>4000</x:v>
      </x:c>
      <x:c r="C7" s="7" t="str"/>
    </x:row>
    <x:row r="8">
      <x:c r="A8" s="7" t="str">
        <x:v>物业/网络</x:v>
      </x:c>
      <x:c r="B8" s="29" t="n">
        <x:v>1500</x:v>
      </x:c>
      <x:c r="C8" s="7" t="str"/>
    </x:row>
    <x:row r="9">
      <x:c r="A9" s="7" t="str">
        <x:v>平台/系统费</x:v>
      </x:c>
      <x:c r="B9" s="29" t="n">
        <x:v>1000</x:v>
      </x:c>
      <x:c r="C9" s="7" t="str"/>
    </x:row>
    <x:row r="10">
      <x:c r="A10" s="7" t="str">
        <x:v>日常推广</x:v>
      </x:c>
      <x:c r="B10" s="29" t="n">
        <x:v>3000</x:v>
      </x:c>
      <x:c r="C10" s="7" t="str"/>
    </x:row>
    <x:row r="11">
      <x:c r="A11" s="7" t="str">
        <x:v>维修耗材</x:v>
      </x:c>
      <x:c r="B11" s="29" t="n">
        <x:v>1000</x:v>
      </x:c>
      <x:c r="C11" s="7" t="str"/>
    </x:row>
    <x:row r="12">
      <x:c r="A12" s="7" t="str">
        <x:v>其他</x:v>
      </x:c>
      <x:c r="B12" s="29" t="n">
        <x:v>500</x:v>
      </x:c>
      <x:c r="C12" s="7" t="str"/>
    </x:row>
    <x:row r="13">
      <x:c r="A13" s="30" t="str">
        <x:v>固定成本合计</x:v>
      </x:c>
      <x:c r="B13" s="31" t="n">
        <x:f>SUM(B4:B12)</x:f>
        <x:v>49000</x:v>
      </x:c>
      <x:c r="C13" s="30" t="str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75" hidden="0" customWidth="1"/>
    <x:col min="3" max="3" width="15" hidden="0" customWidth="1"/>
    <x:col min="4" max="4" width="15" hidden="0" customWidth="1"/>
    <x:col min="5" max="5" width="13.75" hidden="0" customWidth="1"/>
    <x:col min="6" max="6" width="15" hidden="0" customWidth="1"/>
    <x:col min="7" max="7" width="27.5" hidden="0" customWidth="1"/>
  </x:cols>
  <x:sheetData>
    <x:row r="1" ht="27" customHeight="1">
      <x:c r="A1" s="28" t="str">
        <x:v>产品毛利</x:v>
      </x:c>
      <x:c r="B1" s="28" t="str">
        <x:v>产品毛利</x:v>
      </x:c>
      <x:c r="C1" s="28" t="str">
        <x:v>产品毛利</x:v>
      </x:c>
      <x:c r="D1" s="28" t="str">
        <x:v>产品毛利</x:v>
      </x:c>
      <x:c r="E1" s="28" t="str">
        <x:v>产品毛利</x:v>
      </x:c>
      <x:c r="F1" s="28" t="str">
        <x:v>产品毛利</x:v>
      </x:c>
      <x:c r="G1" s="28" t="str">
        <x:v>产品毛利</x:v>
      </x:c>
    </x:row>
    <x:row r="2">
      <x:c r="A2" s="7"/>
      <x:c r="B2" s="7"/>
      <x:c r="C2" s="7"/>
      <x:c r="D2" s="7"/>
      <x:c r="E2" s="7"/>
      <x:c r="F2" s="7"/>
      <x:c r="G2" s="7"/>
    </x:row>
    <x:row r="3">
      <x:c r="A3" s="6" t="str">
        <x:v>产品</x:v>
      </x:c>
      <x:c r="B3" s="6" t="str">
        <x:v>售价</x:v>
      </x:c>
      <x:c r="C3" s="6" t="str">
        <x:v>单品成本</x:v>
      </x:c>
      <x:c r="D3" s="6" t="str">
        <x:v>单品毛利</x:v>
      </x:c>
      <x:c r="E3" s="6" t="str">
        <x:v>毛利率</x:v>
      </x:c>
      <x:c r="F3" s="6" t="str">
        <x:v>销售占比</x:v>
      </x:c>
      <x:c r="G3" s="6" t="str">
        <x:v>备注</x:v>
      </x:c>
    </x:row>
    <x:row r="4">
      <x:c r="A4" s="32" t="str">
        <x:v>午托基础班</x:v>
      </x:c>
      <x:c r="B4" s="29" t="n">
        <x:v>1280</x:v>
      </x:c>
      <x:c r="C4" s="29" t="n">
        <x:v>460</x:v>
      </x:c>
      <x:c r="D4" s="33" t="n">
        <x:f>IF(OR(B4="",C4=""),"",B4-C4)</x:f>
        <x:v>820</x:v>
      </x:c>
      <x:c r="E4" s="34" t="n">
        <x:f>IFERROR(D4/B4,"")</x:f>
        <x:v>0.640625</x:v>
      </x:c>
      <x:c r="F4" s="35" t="n">
        <x:v>0.35</x:v>
      </x:c>
      <x:c r="G4" s="32" t="str"/>
    </x:row>
    <x:row r="5">
      <x:c r="A5" s="32" t="str">
        <x:v>晚辅作业班</x:v>
      </x:c>
      <x:c r="B5" s="29" t="n">
        <x:v>980</x:v>
      </x:c>
      <x:c r="C5" s="29" t="n">
        <x:v>320</x:v>
      </x:c>
      <x:c r="D5" s="33" t="n">
        <x:f>IF(OR(B5="",C5=""),"",B5-C5)</x:f>
        <x:v>660</x:v>
      </x:c>
      <x:c r="E5" s="34" t="n">
        <x:f>IFERROR(D5/B5,"")</x:f>
        <x:v>0.673469387755102</x:v>
      </x:c>
      <x:c r="F5" s="35" t="n">
        <x:v>0.3</x:v>
      </x:c>
      <x:c r="G5" s="32" t="str"/>
    </x:row>
    <x:row r="6">
      <x:c r="A6" s="32" t="str">
        <x:v>全日托管</x:v>
      </x:c>
      <x:c r="B6" s="29" t="n">
        <x:v>2280</x:v>
      </x:c>
      <x:c r="C6" s="29" t="n">
        <x:v>880</x:v>
      </x:c>
      <x:c r="D6" s="33" t="n">
        <x:f>IF(OR(B6="",C6=""),"",B6-C6)</x:f>
        <x:v>1400</x:v>
      </x:c>
      <x:c r="E6" s="34" t="n">
        <x:f>IFERROR(D6/B6,"")</x:f>
        <x:v>0.6140350877192983</x:v>
      </x:c>
      <x:c r="F6" s="35" t="n">
        <x:v>0.2</x:v>
      </x:c>
      <x:c r="G6" s="32" t="str"/>
    </x:row>
    <x:row r="7">
      <x:c r="A7" s="32" t="str">
        <x:v>特色成长课</x:v>
      </x:c>
      <x:c r="B7" s="29" t="n">
        <x:v>699</x:v>
      </x:c>
      <x:c r="C7" s="29" t="n">
        <x:v>210</x:v>
      </x:c>
      <x:c r="D7" s="33" t="n">
        <x:f>IF(OR(B7="",C7=""),"",B7-C7)</x:f>
        <x:v>489</x:v>
      </x:c>
      <x:c r="E7" s="34" t="n">
        <x:f>IFERROR(D7/B7,"")</x:f>
        <x:v>0.6995708154506438</x:v>
      </x:c>
      <x:c r="F7" s="35" t="n">
        <x:v>0.1</x:v>
      </x:c>
      <x:c r="G7" s="32" t="str"/>
    </x:row>
    <x:row r="8">
      <x:c r="A8" s="32" t="str">
        <x:v>临时托管</x:v>
      </x:c>
      <x:c r="B8" s="29" t="n">
        <x:v>80</x:v>
      </x:c>
      <x:c r="C8" s="29" t="n">
        <x:v>30</x:v>
      </x:c>
      <x:c r="D8" s="33" t="n">
        <x:f>IF(OR(B8="",C8=""),"",B8-C8)</x:f>
        <x:v>50</x:v>
      </x:c>
      <x:c r="E8" s="34" t="n">
        <x:f>IFERROR(D8/B8,"")</x:f>
        <x:v>0.625</x:v>
      </x:c>
      <x:c r="F8" s="35" t="n">
        <x:v>0.05</x:v>
      </x:c>
      <x:c r="G8" s="32" t="str"/>
    </x:row>
    <x:row r="9">
      <x:c r="A9" s="7" t="str"/>
      <x:c r="B9" s="7" t="str"/>
      <x:c r="C9" s="7" t="str"/>
      <x:c r="D9" s="7" t="str"/>
      <x:c r="E9" s="34" t="str"/>
      <x:c r="F9" s="7" t="str"/>
      <x:c r="G9" s="7" t="str"/>
    </x:row>
    <x:row r="10">
      <x:c r="A10" s="30" t="str">
        <x:v>综合毛利率</x:v>
      </x:c>
      <x:c r="B10" s="30" t="str"/>
      <x:c r="C10" s="30" t="str"/>
      <x:c r="D10" s="30" t="str"/>
      <x:c r="E10" s="36" t="n">
        <x:f>IFERROR(SUMPRODUCT(E4:E8,F4:F8)/SUM(F4:F8),0)</x:f>
        <x:v>0.6502736654154548</x:v>
      </x:c>
      <x:c r="F10" s="30" t="str"/>
      <x:c r="G10" s="30" t="str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8.75" hidden="0" customWidth="1"/>
    <x:col min="8" max="8" width="22.5" hidden="0" customWidth="1"/>
  </x:cols>
  <x:sheetData>
    <x:row r="1" ht="27" customHeight="1">
      <x:c r="A1" s="28" t="str">
        <x:v>新店测算汇总</x:v>
      </x:c>
      <x:c r="B1" s="28" t="str">
        <x:v>新店测算汇总</x:v>
      </x:c>
      <x:c r="C1" s="28" t="str">
        <x:v>新店测算汇总</x:v>
      </x:c>
      <x:c r="D1" s="28" t="str">
        <x:v>新店测算汇总</x:v>
      </x:c>
      <x:c r="E1" s="28" t="str">
        <x:v>新店测算汇总</x:v>
      </x:c>
      <x:c r="F1" s="28" t="str">
        <x:v>新店测算汇总</x:v>
      </x:c>
      <x:c r="G1" s="28" t="str">
        <x:v>新店测算汇总</x:v>
      </x:c>
      <x:c r="H1" s="28" t="str">
        <x:v>新店测算汇总</x:v>
      </x:c>
    </x:row>
    <x:row r="2">
      <x:c r="A2" s="7"/>
      <x:c r="B2" s="7"/>
      <x:c r="C2" s="7"/>
      <x:c r="D2" s="7"/>
      <x:c r="E2" s="7"/>
      <x:c r="F2" s="7"/>
      <x:c r="G2" s="7"/>
      <x:c r="H2" s="7"/>
    </x:row>
    <x:row r="3">
      <x:c r="A3" s="6" t="str">
        <x:v>关键指标</x:v>
      </x:c>
      <x:c r="B3" s="6" t="str">
        <x:v>结果</x:v>
      </x:c>
      <x:c r="C3" s="7"/>
      <x:c r="D3" s="7"/>
      <x:c r="E3" s="7"/>
      <x:c r="F3" s="7"/>
      <x:c r="G3" s="7"/>
      <x:c r="H3" s="7"/>
    </x:row>
    <x:row r="4">
      <x:c r="A4" s="7" t="str">
        <x:v>一次性总投入</x:v>
      </x:c>
      <x:c r="B4" s="37" t="n">
        <x:f>'一次性投入'!B14</x:f>
        <x:v>283000</x:v>
      </x:c>
      <x:c r="C4" s="7"/>
      <x:c r="D4" s="7"/>
      <x:c r="E4" s="7"/>
      <x:c r="F4" s="7"/>
      <x:c r="G4" s="7"/>
      <x:c r="H4" s="7"/>
    </x:row>
    <x:row r="5">
      <x:c r="A5" s="7" t="str">
        <x:v>每月固定成本</x:v>
      </x:c>
      <x:c r="B5" s="37" t="n">
        <x:f>'月固定成本'!B13</x:f>
        <x:v>49000</x:v>
      </x:c>
      <x:c r="C5" s="7"/>
      <x:c r="D5" s="7"/>
      <x:c r="E5" s="7"/>
      <x:c r="F5" s="7"/>
      <x:c r="G5" s="7"/>
      <x:c r="H5" s="7"/>
    </x:row>
    <x:row r="6">
      <x:c r="A6" s="7" t="str">
        <x:v>综合毛利率</x:v>
      </x:c>
      <x:c r="B6" s="38" t="n">
        <x:f>'产品毛利'!E10</x:f>
        <x:v>0.6502736654154548</x:v>
      </x:c>
      <x:c r="C6" s="7"/>
      <x:c r="D6" s="7"/>
      <x:c r="E6" s="7"/>
      <x:c r="F6" s="7"/>
      <x:c r="G6" s="7"/>
      <x:c r="H6" s="7"/>
    </x:row>
    <x:row r="7">
      <x:c r="A7" s="7" t="str">
        <x:v>月保本营业额</x:v>
      </x:c>
      <x:c r="B7" s="37" t="n">
        <x:f>IFERROR(B5/B6,0)</x:f>
        <x:v>75352.8900308369</x:v>
      </x:c>
      <x:c r="C7" s="7"/>
      <x:c r="D7" s="7"/>
      <x:c r="E7" s="7"/>
      <x:c r="F7" s="7"/>
      <x:c r="G7" s="7"/>
      <x:c r="H7" s="7"/>
    </x:row>
    <x:row r="8">
      <x:c r="A8" s="7" t="str">
        <x:v>日保本营业额</x:v>
      </x:c>
      <x:c r="B8" s="37" t="n">
        <x:f>B7/30</x:f>
        <x:v>2511.7630010278967</x:v>
      </x:c>
      <x:c r="C8" s="7"/>
      <x:c r="D8" s="7"/>
      <x:c r="E8" s="7"/>
      <x:c r="F8" s="7"/>
      <x:c r="G8" s="7"/>
      <x:c r="H8" s="7"/>
    </x:row>
    <x:row r="9">
      <x:c r="A9" s="7" t="str">
        <x:v>建议备用金</x:v>
      </x:c>
      <x:c r="B9" s="37" t="n">
        <x:f>B5*3</x:f>
        <x:v>147000</x:v>
      </x:c>
      <x:c r="C9" s="7"/>
      <x:c r="D9" s="7"/>
      <x:c r="E9" s="7"/>
      <x:c r="F9" s="7"/>
      <x:c r="G9" s="7"/>
      <x:c r="H9" s="7"/>
    </x:row>
    <x:row r="10">
      <x:c r="A10" s="7" t="str">
        <x:v>房租占营业额警戒线</x:v>
      </x:c>
      <x:c r="B10" s="39" t="n">
        <x:v>0.12</x:v>
      </x:c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6" t="str">
        <x:v>情景</x:v>
      </x:c>
      <x:c r="B12" s="6" t="str">
        <x:v>日营业额</x:v>
      </x:c>
      <x:c r="C12" s="6" t="str">
        <x:v>月营业额</x:v>
      </x:c>
      <x:c r="D12" s="6" t="str">
        <x:v>月毛利</x:v>
      </x:c>
      <x:c r="E12" s="6" t="str">
        <x:v>固定成本</x:v>
      </x:c>
      <x:c r="F12" s="6" t="str">
        <x:v>月利润</x:v>
      </x:c>
      <x:c r="G12" s="6" t="str">
        <x:v>回本周期(月)</x:v>
      </x:c>
      <x:c r="H12" s="6" t="str">
        <x:v>判断</x:v>
      </x:c>
    </x:row>
    <x:row r="13">
      <x:c r="A13" s="40" t="str">
        <x:v>保守</x:v>
      </x:c>
      <x:c r="B13" s="41" t="n">
        <x:v>2500</x:v>
      </x:c>
      <x:c r="C13" s="41" t="n">
        <x:f>B13*30</x:f>
        <x:v>75000</x:v>
      </x:c>
      <x:c r="D13" s="41" t="n">
        <x:f>C13*$B$6</x:f>
        <x:v>48770.52490615911</x:v>
      </x:c>
      <x:c r="E13" s="41" t="n">
        <x:f>$B$5</x:f>
        <x:v>49000</x:v>
      </x:c>
      <x:c r="F13" s="41" t="n">
        <x:f>D13-E13</x:f>
        <x:v>-229.47509384089062</x:v>
      </x:c>
      <x:c r="G13" s="42" t="n">
        <x:f>IFERROR($B$4/F13,"")</x:f>
        <x:v>-1233.2493050257626</x:v>
      </x:c>
      <x:c r="H13" s="40" t="str">
        <x:f>IF(F13&lt;=0,"亏损",IF(G13&lt;=12,"健康",IF(G13&lt;=18,"可考虑",IF(G13&lt;=24,"谨慎","风险高"))))</x:f>
        <x:v>亏损</x:v>
      </x:c>
    </x:row>
    <x:row r="14">
      <x:c r="A14" s="43" t="str">
        <x:v>正常</x:v>
      </x:c>
      <x:c r="B14" s="37" t="n">
        <x:v>4000</x:v>
      </x:c>
      <x:c r="C14" s="37" t="n">
        <x:f>B14*30</x:f>
        <x:v>120000</x:v>
      </x:c>
      <x:c r="D14" s="37" t="n">
        <x:f>C14*$B$6</x:f>
        <x:v>78032.83984985459</x:v>
      </x:c>
      <x:c r="E14" s="37" t="n">
        <x:f>$B$5</x:f>
        <x:v>49000</x:v>
      </x:c>
      <x:c r="F14" s="37" t="n">
        <x:f>D14-E14</x:f>
        <x:v>29032.839849854587</x:v>
      </x:c>
      <x:c r="G14" s="44" t="n">
        <x:f>IFERROR($B$4/F14,"")</x:f>
        <x:v>9.747582443314357</x:v>
      </x:c>
      <x:c r="H14" s="43" t="str">
        <x:f>IF(F14&lt;=0,"亏损",IF(G14&lt;=12,"健康",IF(G14&lt;=18,"可考虑",IF(G14&lt;=24,"谨慎","风险高"))))</x:f>
        <x:v>健康</x:v>
      </x:c>
    </x:row>
    <x:row r="15">
      <x:c r="A15" s="45" t="str">
        <x:v>乐观</x:v>
      </x:c>
      <x:c r="B15" s="46" t="n">
        <x:v>5500</x:v>
      </x:c>
      <x:c r="C15" s="46" t="n">
        <x:f>B15*30</x:f>
        <x:v>165000</x:v>
      </x:c>
      <x:c r="D15" s="46" t="n">
        <x:f>C15*$B$6</x:f>
        <x:v>107295.15479355004</x:v>
      </x:c>
      <x:c r="E15" s="46" t="n">
        <x:f>$B$5</x:f>
        <x:v>49000</x:v>
      </x:c>
      <x:c r="F15" s="46" t="n">
        <x:f>D15-E15</x:f>
        <x:v>58295.15479355004</x:v>
      </x:c>
      <x:c r="G15" s="47" t="n">
        <x:f>IFERROR($B$4/F15,"")</x:f>
        <x:v>4.854605858792779</x:v>
      </x:c>
      <x:c r="H15" s="45" t="str">
        <x:f>IF(F15&lt;=0,"亏损",IF(G15&lt;=12,"健康",IF(G15&lt;=18,"可考虑",IF(G15&lt;=24,"谨慎","风险高"))))</x:f>
        <x:v>健康</x:v>
      </x:c>
    </x:row>
    <x:row r="16">
      <x:c r="A16" s="7" t="str">
        <x:v>目标</x:v>
      </x:c>
      <x:c r="B16" s="29" t="n">
        <x:f>$B$8</x:f>
        <x:v>2511.7630010278967</x:v>
      </x:c>
      <x:c r="C16" s="33" t="n">
        <x:f>B16*30</x:f>
        <x:v>75352.8900308369</x:v>
      </x:c>
      <x:c r="D16" s="33" t="n">
        <x:f>C16*$B$6</x:f>
        <x:v>49000</x:v>
      </x:c>
      <x:c r="E16" s="33" t="n">
        <x:f>$B$5</x:f>
        <x:v>49000</x:v>
      </x:c>
      <x:c r="F16" s="33" t="n">
        <x:f>D16-E16</x:f>
        <x:v>0</x:v>
      </x:c>
      <x:c r="G16" s="48" t="str">
        <x:f>IFERROR($B$4/F16,"")</x:f>
      </x:c>
      <x:c r="H16" s="7" t="str">
        <x:f>IF(F16&lt;=0,"亏损",IF(G16&lt;=12,"健康",IF(G16&lt;=18,"可考虑",IF(G16&lt;=24,"谨慎","风险高"))))</x:f>
        <x:v>亏损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16.25" hidden="0" customWidth="1"/>
    <x:col min="3" max="3" width="52.5" hidden="0" customWidth="1"/>
  </x:cols>
  <x:sheetData>
    <x:row r="1" ht="27" customHeight="1">
      <x:c r="A1" s="28" t="str">
        <x:v>开店前检查清单</x:v>
      </x:c>
      <x:c r="B1" s="28" t="str">
        <x:v>开店前检查清单</x:v>
      </x:c>
      <x:c r="C1" s="28" t="str">
        <x:v>开店前检查清单</x:v>
      </x:c>
    </x:row>
    <x:row r="2">
      <x:c r="A2" s="7"/>
      <x:c r="B2" s="7"/>
      <x:c r="C2" s="7"/>
    </x:row>
    <x:row r="3">
      <x:c r="A3" s="6" t="str">
        <x:v>检查项</x:v>
      </x:c>
      <x:c r="B3" s="6" t="str">
        <x:v>状态</x:v>
      </x:c>
      <x:c r="C3" s="6" t="str">
        <x:v>备注</x:v>
      </x:c>
    </x:row>
    <x:row r="4">
      <x:c r="A4" s="7" t="str">
        <x:v>候选点位已蹲点：工作日/周末/早中晚</x:v>
      </x:c>
      <x:c r="B4" s="32" t="str">
        <x:v>未完成</x:v>
      </x:c>
      <x:c r="C4" s="32" t="str"/>
    </x:row>
    <x:row r="5">
      <x:c r="A5" s="7" t="str">
        <x:v>周边小区、学校、竞品已统计</x:v>
      </x:c>
      <x:c r="B5" s="32" t="str">
        <x:v>未完成</x:v>
      </x:c>
      <x:c r="C5" s="32" t="str"/>
    </x:row>
    <x:row r="6">
      <x:c r="A6" s="7" t="str">
        <x:v>租金、转让费、免租期已谈清楚</x:v>
      </x:c>
      <x:c r="B6" s="32" t="str">
        <x:v>未完成</x:v>
      </x:c>
      <x:c r="C6" s="32" t="str"/>
    </x:row>
    <x:row r="7">
      <x:c r="A7" s="7" t="str">
        <x:v>消防、证照、门头限制已确认</x:v>
      </x:c>
      <x:c r="B7" s="32" t="str">
        <x:v>未完成</x:v>
      </x:c>
      <x:c r="C7" s="32" t="str"/>
    </x:row>
    <x:row r="8">
      <x:c r="A8" s="7" t="str">
        <x:v>保守情景亏损可承受 3-6 个月</x:v>
      </x:c>
      <x:c r="B8" s="32" t="str">
        <x:v>未完成</x:v>
      </x:c>
      <x:c r="C8" s="32" t="str"/>
    </x:row>
    <x:row r="9">
      <x:c r="A9" s="7" t="str">
        <x:v>核心产品、引流款、利润款已确定</x:v>
      </x:c>
      <x:c r="B9" s="32" t="str">
        <x:v>未完成</x:v>
      </x:c>
      <x:c r="C9" s="32" t="str"/>
    </x:row>
    <x:row r="10">
      <x:c r="A10" s="7" t="str">
        <x:v>开业推广计划和预算已准备</x:v>
      </x:c>
      <x:c r="B10" s="32" t="str">
        <x:v>未完成</x:v>
      </x:c>
      <x:c r="C10" s="32" t="str"/>
    </x:row>
    <x:row r="11">
      <x:c r="A11" s="7" t="str">
        <x:v>每日数据日报模板已准备</x:v>
      </x:c>
      <x:c r="B11" s="32" t="str">
        <x:v>未完成</x:v>
      </x:c>
      <x:c r="C11" s="32" t="str"/>
    </x:row>
    <x:row r="12">
      <x:c r="A12" s="7" t="str">
        <x:v>合同已由可靠人员复核</x:v>
      </x:c>
      <x:c r="B12" s="32" t="str">
        <x:v>未完成</x:v>
      </x:c>
      <x:c r="C12" s="32" t="str"/>
    </x:row>
  </x:sheetData>
  <x:mergeCells>
    <x:mergeCell ref="A1:C1"/>
  </x:mergeCells>
  <x:dataValidations count="1">
    <x:dataValidation type="list" sqref="B4:B12">
      <x:formula1>"未完成,进行中,已完成,不适用"</x:formula1>
    </x:dataValidation>
  </x:dataValidations>
  <x:pageMargins left="0.7" right="0.7" top="0.75" bottom="0.75" header="0.3" footer="0.3"/>
</x:worksheet>
</file>